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puts" state="visible" r:id="rId5"/>
    <sheet sheetId="3" name="TokenModel" state="visible" r:id="rId6"/>
    <sheet sheetId="4" name="ProductionAI" state="visible" r:id="rId7"/>
    <sheet sheetId="5" name="Testing" state="visible" r:id="rId8"/>
    <sheet sheetId="6" name="Infrastructure" state="visible" r:id="rId9"/>
    <sheet sheetId="7" name="TCO" state="visible" r:id="rId10"/>
    <sheet sheetId="8" name="AltProviders" state="visible" r:id="rId11"/>
  </sheets>
  <calcPr calcId="171027"/>
</workbook>
</file>

<file path=xl/sharedStrings.xml><?xml version="1.0" encoding="utf-8"?>
<sst xmlns="http://schemas.openxmlformats.org/spreadsheetml/2006/main" count="252" uniqueCount="220">
  <si>
    <t>CareyBot — Deployment Cost Analysis</t>
  </si>
  <si>
    <t>Purpose</t>
  </si>
  <si>
    <t>Monthly running-cost model for the CareyBot mental-health triage chatbot (TikTok + Telegram) as currently deployed, plus alternative configurations for the same architecture.</t>
  </si>
  <si>
    <t>Baseline volume</t>
  </si>
  <si>
    <t>500 users/month x 10 LLM turns each (post-questionnaire) = 5,000 billable AI turns. The ~7 hard-coded screener/menu turns per user cost $0 (pure local logic, no AI call).</t>
  </si>
  <si>
    <t>How to use</t>
  </si>
  <si>
    <t>Edit only the BLUE cells on the "Inputs" tab (and the yellow rate cards). Everything else recomputes in Excel. Costs shown per LLM rate card and per infrastructure configuration.</t>
  </si>
  <si>
    <t/>
  </si>
  <si>
    <t>TAB GUIDE</t>
  </si>
  <si>
    <t xml:space="preserve">  Inputs</t>
  </si>
  <si>
    <t>All editable assumptions: volume, per-message token sizes, testing cadence, LLM rate cards. BLUE = editable; YELLOW = key assumption to confirm.</t>
  </si>
  <si>
    <t xml:space="preserve">  TokenModel</t>
  </si>
  <si>
    <t>Derives per-session &amp; per-cohort tokens. Models AIBots server-side context accumulation (each turn re-reads the system prime + full transcript).</t>
  </si>
  <si>
    <t xml:space="preserve">  ProductionAI</t>
  </si>
  <si>
    <t>Live chatbot AI cost for the 500-user cohort, one row per candidate LLM/provider rate.</t>
  </si>
  <si>
    <t xml:space="preserve">  Testing</t>
  </si>
  <si>
    <t>Automated eval-harness cost (GitHub Actions cron every 2 days): AIBots sim calls + OpenAI roleplay "youth" + CI minutes.</t>
  </si>
  <si>
    <t xml:space="preserve">  Infrastructure</t>
  </si>
  <si>
    <t>Fixed monthly (volume-independent) costs under 4 hosting configurations.</t>
  </si>
  <si>
    <t xml:space="preserve">  TCO</t>
  </si>
  <si>
    <t>Total cost of ownership: 6 named end-to-end scenarios (rate card + infra config).</t>
  </si>
  <si>
    <t xml:space="preserve">  AltProviders</t>
  </si>
  <si>
    <t>Alternative solutions per architectural component, with cost impact and PDPA/Singapore-residency suitability.</t>
  </si>
  <si>
    <t>KEY ASSUMPTIONS / CONFIRM</t>
  </si>
  <si>
    <t xml:space="preserve">  LLM rate</t>
  </si>
  <si>
    <t>AIBots uses model alias "azure~openai.gpt-5-2-chat". The real per-token rate is NOT public. Rate cards are ESTIMATES — replace with the confirmed AIBots/Azure rate. If AIBots is gov-provided at $0/token, use the "AIBots (gov-provided)" row.</t>
  </si>
  <si>
    <t xml:space="preserve">  Context accumulation</t>
  </si>
  <si>
    <t>AIBots holds session state server-side, so the LLM re-reads the full conversation each turn -&gt; per-session input tokens grow super-linearly. Dominant token driver; modeled in TokenModel.</t>
  </si>
  <si>
    <t xml:space="preserve">  M365 / SharePoint</t>
  </si>
  <si>
    <t>Assumed already owned org-wide -&gt; $0 incremental. Power Automate "HTTP request received" trigger is a PREMIUM connector; may add ~$15/user or ~$100/flow if not already licensed.</t>
  </si>
  <si>
    <t xml:space="preserve">  Dify fallback</t>
  </si>
  <si>
    <t>Live AIBots-&gt;Dify failover exists in webhook.ts. It contradicts the CLAUDE.md PDPA "no Dify" rule and is a second paid AI provider. Treated as $0 unless it fires; see AltProviders.</t>
  </si>
  <si>
    <t xml:space="preserve">  Prices</t>
  </si>
  <si>
    <t>All third-party prices are list prices as understood at time of writing and MUST be re-verified before budgeting. No prices were fetched live for this sheet.</t>
  </si>
  <si>
    <t>Inputs &amp; Assumptions  (edit BLUE cells / YELLOW rate cards)</t>
  </si>
  <si>
    <t>VOLUME &amp; USAGE</t>
  </si>
  <si>
    <t>Users per month</t>
  </si>
  <si>
    <t>Projected pilot cohort. Change to model other volumes.</t>
  </si>
  <si>
    <t>LLM turns per user (post-questionnaire)</t>
  </si>
  <si>
    <t>Open-ended AI turns after screener/menu.</t>
  </si>
  <si>
    <t>Hard-coded screener/menu turns per user (no AI)</t>
  </si>
  <si>
    <t>Age gate + 4Q C-SSRS + safety check + menu. $0.</t>
  </si>
  <si>
    <t>Total billable AI turns / month</t>
  </si>
  <si>
    <t>PER-MESSAGE TOKEN ASSUMPTIONS</t>
  </si>
  <si>
    <t>System prime tokens (CAREY V3 prompt, once/session)</t>
  </si>
  <si>
    <t>Re-read each turn as context.</t>
  </si>
  <si>
    <t>Prime reply tokens (output)</t>
  </si>
  <si>
    <t>Short ack to the priming message.</t>
  </si>
  <si>
    <t>User message tokens (input, avg)</t>
  </si>
  <si>
    <t>Average inbound youth message.</t>
  </si>
  <si>
    <t>Carey reply tokens (output, 90-word cap)</t>
  </si>
  <si>
    <t>System prompt hard-caps replies at 90 words.</t>
  </si>
  <si>
    <t>TESTING / EVAL HARNESS ASSUMPTIONS</t>
  </si>
  <si>
    <t>Eval runs per month (cron every 2 days)</t>
  </si>
  <si>
    <t>eval.yml cron 0 0 */2 * *.</t>
  </si>
  <si>
    <t>Personas per run</t>
  </si>
  <si>
    <t>Representatives per user type + crisis persona.</t>
  </si>
  <si>
    <t>AI turns per persona (of 20 max)</t>
  </si>
  <si>
    <t>~7 of 20 turns are scripted screener (no AIBots call).</t>
  </si>
  <si>
    <t>OpenAI roleplay calls per persona</t>
  </si>
  <si>
    <t>gpt-4o-mini "youth" msg per open turn.</t>
  </si>
  <si>
    <t>OpenAI roleplay input tokens/call (avg)</t>
  </si>
  <si>
    <t>Growing transcript + rolePrompt.</t>
  </si>
  <si>
    <t>OpenAI roleplay output tokens/call (avg)</t>
  </si>
  <si>
    <t>OpenAI gpt-4o-mini input $/1M</t>
  </si>
  <si>
    <t>List price.</t>
  </si>
  <si>
    <t>OpenAI gpt-4o-mini output $/1M</t>
  </si>
  <si>
    <t>LLM RATE CARDS ($ / 1M tokens) — ESTIMATES, CONFIRM BEFORE BUDGETING</t>
  </si>
  <si>
    <t>Provider / model</t>
  </si>
  <si>
    <t>Input $/1M</t>
  </si>
  <si>
    <t>Output $/1M</t>
  </si>
  <si>
    <t>Notes (PDPA / Singapore residency)</t>
  </si>
  <si>
    <t>AIBots (gov-provided)</t>
  </si>
  <si>
    <t>Approved SG-gov platform. Assumed $0/token (subsidised). Current production brain via Directus.</t>
  </si>
  <si>
    <t>Azure OpenAI GPT-4o-class</t>
  </si>
  <si>
    <t>PDPA-OK if pinned to Southeast Asia region. Placeholder for what sits behind AIBots today.</t>
  </si>
  <si>
    <t>Azure OpenAI GPT-4o-mini</t>
  </si>
  <si>
    <t>Cheapest managed option; quality/safety tradeoff for a mental-health bot.</t>
  </si>
  <si>
    <t>Flagship GPT-5-class (est.)</t>
  </si>
  <si>
    <t>PLACEHOLDER — real gpt-5-2 rate unknown. Confirm with AIBots.</t>
  </si>
  <si>
    <t>Claude Sonnet (Bedrock SG)</t>
  </si>
  <si>
    <t>PDPA-OK in Bedrock ap-southeast-1. Strong safety profile.</t>
  </si>
  <si>
    <t>Claude Haiku (Bedrock SG)</t>
  </si>
  <si>
    <t>Cheaper Claude tier; good latency.</t>
  </si>
  <si>
    <t>Qwen-Plus (Alibaba Cloud SG, est.)</t>
  </si>
  <si>
    <t>Data CAN stay in SG: use Alibaba Cloud Model Studio INTERNATIONAL (Singapore region), NOT the China (.cn) endpoint; or self-host open-weight Qwen on an SG GPU VM. CAVEAT: Chinese-owned vendor -&gt; extra security/procurement review likely for a gov-linked MH service. Residency != approval. Rate is an ESTIMATE.</t>
  </si>
  <si>
    <t>Self-hosted OSS (SEA-LION / Llama / Qwen on SG GPU VM)</t>
  </si>
  <si>
    <t>No per-token cost; fixed GPU VM instead (see Infrastructure). Best PDPA control; higher ops burden.</t>
  </si>
  <si>
    <t>Token Model — per-session accumulation &amp; cohort totals</t>
  </si>
  <si>
    <t>AIBots holds session context server-side, so the LLM re-reads the system prime + full transcript every turn. Per-session input tokens therefore grow each turn. Table sums the priming call + N user turns (N = Inputs!B5).</t>
  </si>
  <si>
    <t>Turn</t>
  </si>
  <si>
    <t>Included (turn&lt;=N)</t>
  </si>
  <si>
    <t>Input tokens (this call)</t>
  </si>
  <si>
    <t>Output tokens (this call)</t>
  </si>
  <si>
    <t>Per-session total</t>
  </si>
  <si>
    <t>Cohort total (x users/month)</t>
  </si>
  <si>
    <t>Cohort input (M tokens)</t>
  </si>
  <si>
    <t>Cohort output (M tokens)</t>
  </si>
  <si>
    <t>Production AI Cost — 500 users x 10 LLM turns/month</t>
  </si>
  <si>
    <t>Cohort tokens pulled from TokenModel. One row per candidate LLM rate. Change rates on the Inputs tab.</t>
  </si>
  <si>
    <t>LLM / provider</t>
  </si>
  <si>
    <t>Input cost $/mo</t>
  </si>
  <si>
    <t>Output cost $/mo</t>
  </si>
  <si>
    <t>MONTHLY TOTAL $</t>
  </si>
  <si>
    <t>Automated Testing / Eval Harness Cost</t>
  </si>
  <si>
    <t>GitHub Actions cron (every 2 days) drives /api/sim through the REAL graph + AIBots for each persona, with an OpenAI gpt-4o-mini roleplaying the "youth". Synthetic data only (no PHI).</t>
  </si>
  <si>
    <t>AIBots eval token model (per persona)</t>
  </si>
  <si>
    <t>AI turns per persona (T)</t>
  </si>
  <si>
    <t>Input tokens / persona</t>
  </si>
  <si>
    <t>Output tokens / persona</t>
  </si>
  <si>
    <t>Scale factor (personas x runs / month)</t>
  </si>
  <si>
    <t>Monthly AIBots input tokens</t>
  </si>
  <si>
    <t>Monthly AIBots output tokens</t>
  </si>
  <si>
    <t>OpenAI roleplay "youth" (gpt-4o-mini)</t>
  </si>
  <si>
    <t>Monthly input tokens</t>
  </si>
  <si>
    <t>Monthly output tokens</t>
  </si>
  <si>
    <t>OpenAI cost $/mo</t>
  </si>
  <si>
    <t>GitHub Actions $/mo (free tier)</t>
  </si>
  <si>
    <t>Testing total by LLM rate card</t>
  </si>
  <si>
    <t>LLM / provider (AIBots calls)</t>
  </si>
  <si>
    <t>AIBots test $</t>
  </si>
  <si>
    <t>+ OpenAI $</t>
  </si>
  <si>
    <t>+ CI $</t>
  </si>
  <si>
    <t>TESTING TOTAL $</t>
  </si>
  <si>
    <t>Fixed Infrastructure Cost ($/month) — 4 configurations</t>
  </si>
  <si>
    <t>Line item</t>
  </si>
  <si>
    <t>A: All-managed SaaS</t>
  </si>
  <si>
    <t>B: Hybrid (Vercel+self-host data)</t>
  </si>
  <si>
    <t>C: Lean pilot (free tiers)</t>
  </si>
  <si>
    <t>D: Fully self-hosted</t>
  </si>
  <si>
    <t>Notes</t>
  </si>
  <si>
    <t>Vercel (Pro, 1 seat)</t>
  </si>
  <si>
    <t>Pro required for commercial use + 60s functions. D drops Vercel for a self-run Node host.</t>
  </si>
  <si>
    <t>Redis host</t>
  </si>
  <si>
    <t>A: Upstash pay-as-you-go. B/D: on the shared VM. C: Upstash free tier.</t>
  </si>
  <si>
    <t>Directus (AI gateway) host/license</t>
  </si>
  <si>
    <t>A: Directus Cloud Starter. B/D: self-hosted on VM (community license free). C: micro VM.</t>
  </si>
  <si>
    <t>Microsoft 365 / SharePoint</t>
  </si>
  <si>
    <t>Assumed already owned org-wide -&gt; $0 incremental to this project.</t>
  </si>
  <si>
    <t>Power Automate premium connector</t>
  </si>
  <si>
    <t>'HTTP request received' trigger is premium (~$15/user or ~$100/flow). $0 if already licensed. CONFIRM.</t>
  </si>
  <si>
    <t>Compute VM (Singapore region)</t>
  </si>
  <si>
    <t>B: 1 small VM for Redis+Directus. D: larger VM for Node+Redis+Directus. Pin to SG for PDPA.</t>
  </si>
  <si>
    <t>Domain / misc</t>
  </si>
  <si>
    <t>Registration page + webhook domain.</t>
  </si>
  <si>
    <t>GitHub Actions (CI)</t>
  </si>
  <si>
    <t>Eval cron well within free minutes.</t>
  </si>
  <si>
    <t>TOTAL FIXED $/mo</t>
  </si>
  <si>
    <t>Total Cost of Ownership — named end-to-end scenarios ($/month)</t>
  </si>
  <si>
    <t>Each scenario = one LLM rate card + one infrastructure configuration. Production AI from ProductionAI, Testing from Testing, Fixed from Infrastructure.</t>
  </si>
  <si>
    <t>Scenario</t>
  </si>
  <si>
    <t>LLM brain</t>
  </si>
  <si>
    <t>Infra config</t>
  </si>
  <si>
    <t>Production AI $/mo</t>
  </si>
  <si>
    <t>Testing $/mo</t>
  </si>
  <si>
    <t>Fixed infra $/mo</t>
  </si>
  <si>
    <t>TOTAL $/mo</t>
  </si>
  <si>
    <t>1. Best case (gov-free AI, lean)</t>
  </si>
  <si>
    <t>C: Lean pilot</t>
  </si>
  <si>
    <t>2. Gov-free AI, managed infra</t>
  </si>
  <si>
    <t>A: All-managed</t>
  </si>
  <si>
    <t>3. Billed GPT-4o-class, hybrid</t>
  </si>
  <si>
    <t>Azure GPT-4o-class</t>
  </si>
  <si>
    <t>B: Hybrid</t>
  </si>
  <si>
    <t>4. Budget (GPT-4o-mini, lean)</t>
  </si>
  <si>
    <t>Azure GPT-4o-mini</t>
  </si>
  <si>
    <t>5. Worst case (flagship GPT-5, managed)</t>
  </si>
  <si>
    <t>Flagship GPT-5-class</t>
  </si>
  <si>
    <t>6. Claude Haiku (Bedrock), hybrid</t>
  </si>
  <si>
    <t>7. Qwen-Plus (Alibaba SG), hybrid</t>
  </si>
  <si>
    <t>Qwen-Plus (Alibaba SG, est.)</t>
  </si>
  <si>
    <t>AI cost is the dominant swing driver. If AIBots is gov-provided, total collapses to essentially fixed infra + ~$0.30 testing. Multiply TOTAL x12 for an annual figure.</t>
  </si>
  <si>
    <t>Alternative Solutions for the Same Architecture</t>
  </si>
  <si>
    <t>Component</t>
  </si>
  <si>
    <t>Current</t>
  </si>
  <si>
    <t>Alternative(s)</t>
  </si>
  <si>
    <t>Cost impact</t>
  </si>
  <si>
    <t>PDPA / SG residency</t>
  </si>
  <si>
    <t>Recommendation</t>
  </si>
  <si>
    <t>AIBots (azure~openai.gpt-5-2-chat) via Directus</t>
  </si>
  <si>
    <t>Azure OpenAI direct (SG); Claude via Bedrock (SG); Qwen via Alibaba Cloud SG or self-hosted; self-host SEA-LION/Llama on SG GPU</t>
  </si>
  <si>
    <t>Biggest lever. mini/Qwen-Plus ~20x cheaper than flagship; self-host = fixed GPU cost</t>
  </si>
  <si>
    <t>Azure/AWS SG-region PDPA-OK. Qwen resident via SG endpoint/self-host BUT Chinese vendor = extra review. AIBots = pre-approved gov path</t>
  </si>
  <si>
    <t>Stay on AIBots if gov-provided ($0). Else price mini vs Haiku vs Qwen-Plus; vet Qwen vendor risk first.</t>
  </si>
  <si>
    <t>AI gateway</t>
  </si>
  <si>
    <t>Directus (for IP whitelisting)</t>
  </si>
  <si>
    <t>Azure API Management; Cloudflare Gateway; NGINX reverse proxy on the VM</t>
  </si>
  <si>
    <t>Directus Cloud ~$15/mo vs ~$0 self-host</t>
  </si>
  <si>
    <t>Neutral — gateway holds no PHI at rest</t>
  </si>
  <si>
    <t>Self-host on the same VM as Redis to remove a SaaS line.</t>
  </si>
  <si>
    <t>Session store</t>
  </si>
  <si>
    <t>Redis via ioredis (persistent socket)</t>
  </si>
  <si>
    <t>Upstash Redis (HTTP, serverless-native); Vercel KV; self-host Redis</t>
  </si>
  <si>
    <t>Upstash free tier covers pilot; ioredis on serverless risks connection exhaustion</t>
  </si>
  <si>
    <t>Pin region to SG for PDPA</t>
  </si>
  <si>
    <t>Move to Upstash/HTTP for serverless correctness AND lower cost.</t>
  </si>
  <si>
    <t>Hosting</t>
  </si>
  <si>
    <t>Vercel serverless (Pro)</t>
  </si>
  <si>
    <t>Azure Functions (SG); Cloudflare Workers; self-host Node on SG VM</t>
  </si>
  <si>
    <t>Vercel Pro $20 vs VM ~$12-25; Azure aligns with M365/PDPA</t>
  </si>
  <si>
    <t>Azure SG region strongest PDPA story</t>
  </si>
  <si>
    <t>Keep Vercel for pilot simplicity; revisit Azure if scaling/tightening residency.</t>
  </si>
  <si>
    <t>Conversation logging</t>
  </si>
  <si>
    <t>SharePoint via Power Automate webhook</t>
  </si>
  <si>
    <t>Direct Graph API to SharePoint; Azure Table/Blob; Postgres on VM</t>
  </si>
  <si>
    <t>Avoids Power Automate PREMIUM connector (~$15/user or $100/flow)</t>
  </si>
  <si>
    <t>All keep data in M365/SG</t>
  </si>
  <si>
    <t>If PA premium is not already licensed, switch to Graph API direct.</t>
  </si>
  <si>
    <t>Fallback AI</t>
  </si>
  <si>
    <t>Dify (live AIBots-&gt;Dify failover)</t>
  </si>
  <si>
    <t>Remove entirely; or fail over to Azure OpenAI direct</t>
  </si>
  <si>
    <t>$0 unless it fires, but a standing 2nd provider + PDPA risk</t>
  </si>
  <si>
    <t>Dify likely NOT SG-approved -&gt; violates CLAUDE.md</t>
  </si>
  <si>
    <t>DECIDE: remove Dify or replace with an SG-approved failover.</t>
  </si>
  <si>
    <t>Eval executor</t>
  </si>
  <si>
    <t>GitHub Actions (cron 2-daily)</t>
  </si>
  <si>
    <t>Vercel Cron; Azure DevOps; self-host cron</t>
  </si>
  <si>
    <t>GH Actions free tier sufficient; ~$0</t>
  </si>
  <si>
    <t>Synthetic data only, no PHI</t>
  </si>
  <si>
    <t>Keep as-is. Cheapest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</si>
</sst>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$#,##0"/>
  </numFmts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000000"/>
      <sz val="10"/>
      <name val="Arial"/>
    </font>
    <font>
      <color rgb="FF000000"/>
      <sz val="10"/>
      <name val="Arial"/>
    </font>
    <font>
      <b/>
      <color rgb="FF1F3864"/>
      <sz val="10"/>
      <name val="Arial"/>
    </font>
    <font>
      <color rgb="FF0000FF"/>
      <sz val="10"/>
      <name val="Arial"/>
    </font>
    <font>
      <i/>
      <color rgb="FF595959"/>
      <sz val="9"/>
      <name val="Arial"/>
    </font>
    <font>
      <b/>
      <color rgb="FFFFFFFF"/>
      <sz val="11"/>
      <name val="Arial"/>
    </font>
    <font>
      <color rgb="FF008000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2E549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4" fillId="3" borderId="0" xfId="0" applyFont="1" applyFill="1"/>
    <xf numFmtId="0" fontId="0" fillId="3" borderId="0" xfId="0" applyFill="1"/>
    <xf numFmtId="0" fontId="3" fillId="0" borderId="0" xfId="0" applyFont="1" applyAlignment="1">
      <alignment horizontal="left" vertical="top"/>
    </xf>
    <xf numFmtId="3" fontId="5" fillId="4" borderId="1" xfId="0" applyNumberFormat="1" applyFont="1" applyFill="1" applyBorder="1" applyAlignment="1">
      <alignment horizontal="right" vertical="top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3" fontId="2" fillId="5" borderId="1" xfId="0" applyNumberFormat="1" applyFont="1" applyFill="1" applyBorder="1" applyAlignment="1">
      <alignment horizontal="right"/>
    </xf>
    <xf numFmtId="164" fontId="5" fillId="4" borderId="1" xfId="0" applyNumberFormat="1" applyFont="1" applyFill="1" applyBorder="1" applyAlignment="1">
      <alignment horizontal="right" vertical="top"/>
    </xf>
    <xf numFmtId="0" fontId="7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0" fontId="3" fillId="7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/>
    </xf>
    <xf numFmtId="3" fontId="3" fillId="7" borderId="1" xfId="0" applyNumberFormat="1" applyFont="1" applyFill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 vertical="top"/>
    </xf>
    <xf numFmtId="164" fontId="8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5" fontId="5" fillId="4" borderId="1" xfId="0" applyNumberFormat="1" applyFont="1" applyFill="1" applyBorder="1" applyAlignment="1">
      <alignment horizontal="right" vertical="top"/>
    </xf>
    <xf numFmtId="165" fontId="2" fillId="5" borderId="1" xfId="0" applyNumberFormat="1" applyFont="1" applyFill="1" applyBorder="1" applyAlignment="1">
      <alignment horizontal="right"/>
    </xf>
    <xf numFmtId="0" fontId="3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8" customWidth="1"/>
  </cols>
  <sheetData>
    <row r="1" ht="24" customHeight="1" spans="1:2" x14ac:dyDescent="0.25">
      <c r="A1" s="1" t="s">
        <v>0</v>
      </c>
      <c r="B1" s="1"/>
    </row>
    <row r="3" ht="42" customHeight="1" spans="1:2" x14ac:dyDescent="0.25">
      <c r="A3" s="2" t="s">
        <v>1</v>
      </c>
      <c r="B3" s="3" t="s">
        <v>2</v>
      </c>
    </row>
    <row r="4" ht="42" customHeight="1" spans="1:2" x14ac:dyDescent="0.25">
      <c r="A4" s="2" t="s">
        <v>3</v>
      </c>
      <c r="B4" s="3" t="s">
        <v>4</v>
      </c>
    </row>
    <row r="5" ht="42" customHeight="1" spans="1:2" x14ac:dyDescent="0.25">
      <c r="A5" s="2" t="s">
        <v>5</v>
      </c>
      <c r="B5" s="3" t="s">
        <v>6</v>
      </c>
    </row>
    <row r="6" ht="12" customHeight="1" spans="1:2" x14ac:dyDescent="0.25">
      <c r="A6" s="3" t="s">
        <v>7</v>
      </c>
      <c r="B6" s="3" t="s">
        <v>7</v>
      </c>
    </row>
    <row r="7" ht="12" customHeight="1" spans="1:2" x14ac:dyDescent="0.25">
      <c r="A7" s="4" t="s">
        <v>8</v>
      </c>
      <c r="B7" s="3" t="s">
        <v>7</v>
      </c>
    </row>
    <row r="8" ht="42" customHeight="1" spans="1:2" x14ac:dyDescent="0.25">
      <c r="A8" s="3" t="s">
        <v>9</v>
      </c>
      <c r="B8" s="3" t="s">
        <v>10</v>
      </c>
    </row>
    <row r="9" ht="42" customHeight="1" spans="1:2" x14ac:dyDescent="0.25">
      <c r="A9" s="3" t="s">
        <v>11</v>
      </c>
      <c r="B9" s="3" t="s">
        <v>12</v>
      </c>
    </row>
    <row r="10" ht="28" customHeight="1" spans="1:2" x14ac:dyDescent="0.25">
      <c r="A10" s="3" t="s">
        <v>13</v>
      </c>
      <c r="B10" s="3" t="s">
        <v>14</v>
      </c>
    </row>
    <row r="11" ht="42" customHeight="1" spans="1:2" x14ac:dyDescent="0.25">
      <c r="A11" s="3" t="s">
        <v>15</v>
      </c>
      <c r="B11" s="3" t="s">
        <v>16</v>
      </c>
    </row>
    <row r="12" ht="28" customHeight="1" spans="1:2" x14ac:dyDescent="0.25">
      <c r="A12" s="3" t="s">
        <v>17</v>
      </c>
      <c r="B12" s="3" t="s">
        <v>18</v>
      </c>
    </row>
    <row r="13" ht="28" customHeight="1" spans="1:2" x14ac:dyDescent="0.25">
      <c r="A13" s="3" t="s">
        <v>19</v>
      </c>
      <c r="B13" s="3" t="s">
        <v>20</v>
      </c>
    </row>
    <row r="14" ht="28" customHeight="1" spans="1:2" x14ac:dyDescent="0.25">
      <c r="A14" s="3" t="s">
        <v>21</v>
      </c>
      <c r="B14" s="3" t="s">
        <v>22</v>
      </c>
    </row>
    <row r="15" ht="12" customHeight="1" spans="1:2" x14ac:dyDescent="0.25">
      <c r="A15" s="3" t="s">
        <v>7</v>
      </c>
      <c r="B15" s="3" t="s">
        <v>7</v>
      </c>
    </row>
    <row r="16" ht="12" customHeight="1" spans="1:2" x14ac:dyDescent="0.25">
      <c r="A16" s="4" t="s">
        <v>23</v>
      </c>
      <c r="B16" s="3" t="s">
        <v>7</v>
      </c>
    </row>
    <row r="17" ht="42" customHeight="1" spans="1:2" x14ac:dyDescent="0.25">
      <c r="A17" s="3" t="s">
        <v>24</v>
      </c>
      <c r="B17" s="3" t="s">
        <v>25</v>
      </c>
    </row>
    <row r="18" ht="42" customHeight="1" spans="1:2" x14ac:dyDescent="0.25">
      <c r="A18" s="3" t="s">
        <v>26</v>
      </c>
      <c r="B18" s="3" t="s">
        <v>27</v>
      </c>
    </row>
    <row r="19" ht="42" customHeight="1" spans="1:2" x14ac:dyDescent="0.25">
      <c r="A19" s="3" t="s">
        <v>28</v>
      </c>
      <c r="B19" s="3" t="s">
        <v>29</v>
      </c>
    </row>
    <row r="20" ht="42" customHeight="1" spans="1:2" x14ac:dyDescent="0.25">
      <c r="A20" s="3" t="s">
        <v>30</v>
      </c>
      <c r="B20" s="3" t="s">
        <v>31</v>
      </c>
    </row>
    <row r="21" ht="42" customHeight="1" spans="1:2" x14ac:dyDescent="0.25">
      <c r="A21" s="3" t="s">
        <v>32</v>
      </c>
      <c r="B21" s="3" t="s">
        <v>33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3" width="14" customWidth="1"/>
    <col min="4" max="4" width="62" customWidth="1"/>
  </cols>
  <sheetData>
    <row r="1" ht="24" customHeight="1" spans="1:4" x14ac:dyDescent="0.25">
      <c r="A1" s="1" t="s">
        <v>34</v>
      </c>
      <c r="B1" s="1"/>
      <c r="C1" s="1"/>
      <c r="D1" s="1"/>
    </row>
    <row r="3" spans="1:4" x14ac:dyDescent="0.25">
      <c r="A3" s="5" t="s">
        <v>35</v>
      </c>
      <c r="B3" s="6"/>
      <c r="C3" s="6"/>
      <c r="D3" s="6"/>
    </row>
    <row r="4" spans="1:4" x14ac:dyDescent="0.25">
      <c r="A4" s="7" t="s">
        <v>36</v>
      </c>
      <c r="B4" s="8">
        <v>500</v>
      </c>
      <c r="D4" s="9" t="s">
        <v>37</v>
      </c>
    </row>
    <row r="5" spans="1:4" x14ac:dyDescent="0.25">
      <c r="A5" s="7" t="s">
        <v>38</v>
      </c>
      <c r="B5" s="8">
        <v>10</v>
      </c>
      <c r="D5" s="9" t="s">
        <v>39</v>
      </c>
    </row>
    <row r="6" spans="1:4" x14ac:dyDescent="0.25">
      <c r="A6" s="7" t="s">
        <v>40</v>
      </c>
      <c r="B6" s="8">
        <v>7</v>
      </c>
      <c r="D6" s="9" t="s">
        <v>41</v>
      </c>
    </row>
    <row r="7" spans="1:2" x14ac:dyDescent="0.25">
      <c r="A7" s="10" t="s">
        <v>42</v>
      </c>
      <c r="B7" s="11">
        <f>B4*B5</f>
        <v>5000</v>
      </c>
    </row>
    <row r="9" spans="1:4" x14ac:dyDescent="0.25">
      <c r="A9" s="5" t="s">
        <v>43</v>
      </c>
      <c r="B9" s="6"/>
      <c r="C9" s="6"/>
      <c r="D9" s="6"/>
    </row>
    <row r="10" spans="1:4" x14ac:dyDescent="0.25">
      <c r="A10" s="7" t="s">
        <v>44</v>
      </c>
      <c r="B10" s="8">
        <v>3000</v>
      </c>
      <c r="D10" s="9" t="s">
        <v>45</v>
      </c>
    </row>
    <row r="11" spans="1:4" x14ac:dyDescent="0.25">
      <c r="A11" s="7" t="s">
        <v>46</v>
      </c>
      <c r="B11" s="8">
        <v>40</v>
      </c>
      <c r="D11" s="9" t="s">
        <v>47</v>
      </c>
    </row>
    <row r="12" spans="1:4" x14ac:dyDescent="0.25">
      <c r="A12" s="7" t="s">
        <v>48</v>
      </c>
      <c r="B12" s="8">
        <v>35</v>
      </c>
      <c r="D12" s="9" t="s">
        <v>49</v>
      </c>
    </row>
    <row r="13" spans="1:4" x14ac:dyDescent="0.25">
      <c r="A13" s="7" t="s">
        <v>50</v>
      </c>
      <c r="B13" s="8">
        <v>120</v>
      </c>
      <c r="D13" s="9" t="s">
        <v>51</v>
      </c>
    </row>
    <row r="15" spans="1:4" x14ac:dyDescent="0.25">
      <c r="A15" s="5" t="s">
        <v>52</v>
      </c>
      <c r="B15" s="6"/>
      <c r="C15" s="6"/>
      <c r="D15" s="6"/>
    </row>
    <row r="16" spans="1:4" x14ac:dyDescent="0.25">
      <c r="A16" s="7" t="s">
        <v>53</v>
      </c>
      <c r="B16" s="8">
        <v>15</v>
      </c>
      <c r="D16" s="9" t="s">
        <v>54</v>
      </c>
    </row>
    <row r="17" spans="1:4" x14ac:dyDescent="0.25">
      <c r="A17" s="7" t="s">
        <v>55</v>
      </c>
      <c r="B17" s="8">
        <v>6</v>
      </c>
      <c r="D17" s="9" t="s">
        <v>56</v>
      </c>
    </row>
    <row r="18" spans="1:4" x14ac:dyDescent="0.25">
      <c r="A18" s="7" t="s">
        <v>57</v>
      </c>
      <c r="B18" s="8">
        <v>12</v>
      </c>
      <c r="D18" s="9" t="s">
        <v>58</v>
      </c>
    </row>
    <row r="19" spans="1:4" x14ac:dyDescent="0.25">
      <c r="A19" s="7" t="s">
        <v>59</v>
      </c>
      <c r="B19" s="8">
        <v>12</v>
      </c>
      <c r="D19" s="9" t="s">
        <v>60</v>
      </c>
    </row>
    <row r="20" spans="1:4" x14ac:dyDescent="0.25">
      <c r="A20" s="7" t="s">
        <v>61</v>
      </c>
      <c r="B20" s="8">
        <v>1200</v>
      </c>
      <c r="D20" s="9" t="s">
        <v>62</v>
      </c>
    </row>
    <row r="21" spans="1:2" x14ac:dyDescent="0.25">
      <c r="A21" s="7" t="s">
        <v>63</v>
      </c>
      <c r="B21" s="8">
        <v>60</v>
      </c>
    </row>
    <row r="22" spans="1:4" x14ac:dyDescent="0.25">
      <c r="A22" s="7" t="s">
        <v>64</v>
      </c>
      <c r="B22" s="12">
        <v>0.15</v>
      </c>
      <c r="D22" s="9" t="s">
        <v>65</v>
      </c>
    </row>
    <row r="23" spans="1:4" x14ac:dyDescent="0.25">
      <c r="A23" s="7" t="s">
        <v>66</v>
      </c>
      <c r="B23" s="12">
        <v>0.6</v>
      </c>
      <c r="D23" s="9" t="s">
        <v>65</v>
      </c>
    </row>
    <row r="25" spans="1:4" x14ac:dyDescent="0.25">
      <c r="A25" s="5" t="s">
        <v>67</v>
      </c>
      <c r="B25" s="6"/>
      <c r="C25" s="6"/>
      <c r="D25" s="6"/>
    </row>
    <row r="26" spans="1:4" x14ac:dyDescent="0.25">
      <c r="A26" s="13" t="s">
        <v>68</v>
      </c>
      <c r="B26" s="13" t="s">
        <v>69</v>
      </c>
      <c r="C26" s="13" t="s">
        <v>70</v>
      </c>
      <c r="D26" s="13" t="s">
        <v>71</v>
      </c>
    </row>
    <row r="27" spans="1:4" x14ac:dyDescent="0.25">
      <c r="A27" s="14" t="s">
        <v>72</v>
      </c>
      <c r="B27" s="12">
        <v>0</v>
      </c>
      <c r="C27" s="12">
        <v>0</v>
      </c>
      <c r="D27" s="15" t="s">
        <v>73</v>
      </c>
    </row>
    <row r="28" spans="1:4" x14ac:dyDescent="0.25">
      <c r="A28" s="14" t="s">
        <v>74</v>
      </c>
      <c r="B28" s="12">
        <v>2.5</v>
      </c>
      <c r="C28" s="12">
        <v>10</v>
      </c>
      <c r="D28" s="15" t="s">
        <v>75</v>
      </c>
    </row>
    <row r="29" spans="1:4" x14ac:dyDescent="0.25">
      <c r="A29" s="14" t="s">
        <v>76</v>
      </c>
      <c r="B29" s="12">
        <v>0.15</v>
      </c>
      <c r="C29" s="12">
        <v>0.6</v>
      </c>
      <c r="D29" s="15" t="s">
        <v>77</v>
      </c>
    </row>
    <row r="30" spans="1:4" x14ac:dyDescent="0.25">
      <c r="A30" s="14" t="s">
        <v>78</v>
      </c>
      <c r="B30" s="12">
        <v>5</v>
      </c>
      <c r="C30" s="12">
        <v>15</v>
      </c>
      <c r="D30" s="15" t="s">
        <v>79</v>
      </c>
    </row>
    <row r="31" spans="1:4" x14ac:dyDescent="0.25">
      <c r="A31" s="14" t="s">
        <v>80</v>
      </c>
      <c r="B31" s="12">
        <v>3</v>
      </c>
      <c r="C31" s="12">
        <v>15</v>
      </c>
      <c r="D31" s="15" t="s">
        <v>81</v>
      </c>
    </row>
    <row r="32" spans="1:4" x14ac:dyDescent="0.25">
      <c r="A32" s="14" t="s">
        <v>82</v>
      </c>
      <c r="B32" s="12">
        <v>0.8</v>
      </c>
      <c r="C32" s="12">
        <v>4</v>
      </c>
      <c r="D32" s="15" t="s">
        <v>83</v>
      </c>
    </row>
    <row r="33" spans="1:4" x14ac:dyDescent="0.25">
      <c r="A33" s="14" t="s">
        <v>84</v>
      </c>
      <c r="B33" s="12">
        <v>0.4</v>
      </c>
      <c r="C33" s="12">
        <v>1.2</v>
      </c>
      <c r="D33" s="15" t="s">
        <v>85</v>
      </c>
    </row>
    <row r="34" spans="1:4" x14ac:dyDescent="0.25">
      <c r="A34" s="3" t="s">
        <v>86</v>
      </c>
      <c r="D34" s="9" t="s">
        <v>87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22" customWidth="1"/>
  </cols>
  <sheetData>
    <row r="1" ht="24" customHeight="1" spans="1:4" x14ac:dyDescent="0.25">
      <c r="A1" s="1" t="s">
        <v>88</v>
      </c>
      <c r="B1" s="1"/>
      <c r="C1" s="1"/>
      <c r="D1" s="1"/>
    </row>
    <row r="3" ht="44" customHeight="1" spans="1:4" x14ac:dyDescent="0.25">
      <c r="A3" s="9" t="s">
        <v>89</v>
      </c>
      <c r="B3" s="9"/>
      <c r="C3" s="9"/>
      <c r="D3" s="9"/>
    </row>
    <row r="5" spans="1:4" x14ac:dyDescent="0.25">
      <c r="A5" s="13" t="s">
        <v>90</v>
      </c>
      <c r="B5" s="13" t="s">
        <v>91</v>
      </c>
      <c r="C5" s="13" t="s">
        <v>92</v>
      </c>
      <c r="D5" s="13" t="s">
        <v>93</v>
      </c>
    </row>
    <row r="6" spans="1:4" x14ac:dyDescent="0.25">
      <c r="A6" s="16">
        <v>0</v>
      </c>
      <c r="B6" s="17">
        <f>IF(Inputs!$B$5&gt;=1,1,0)</f>
        <v>1</v>
      </c>
      <c r="C6" s="18">
        <f>IF(B6=1,Inputs!$B$10,0)</f>
        <v>3000</v>
      </c>
      <c r="D6" s="18">
        <f>IF(B6=1,Inputs!$B$11,0)</f>
        <v>40</v>
      </c>
    </row>
    <row r="7" spans="1:4" x14ac:dyDescent="0.25">
      <c r="A7" s="19">
        <v>1</v>
      </c>
      <c r="B7" s="20">
        <f>IF(Inputs!$B$5&gt;=1,1,0)</f>
        <v>1</v>
      </c>
      <c r="C7" s="21">
        <f>IF(B7=1,Inputs!$B$10+Inputs!$B$11+($A7-1)*(Inputs!$B$12+Inputs!$B$13)+Inputs!$B$12,0)</f>
        <v>3075</v>
      </c>
      <c r="D7" s="21">
        <f>IF(B7=1,Inputs!$B$13,0)</f>
        <v>120</v>
      </c>
    </row>
    <row r="8" spans="1:4" x14ac:dyDescent="0.25">
      <c r="A8" s="16">
        <v>2</v>
      </c>
      <c r="B8" s="17">
        <f>IF(Inputs!$B$5&gt;=2,1,0)</f>
        <v>1</v>
      </c>
      <c r="C8" s="18">
        <f>IF(B8=1,Inputs!$B$10+Inputs!$B$11+($A8-1)*(Inputs!$B$12+Inputs!$B$13)+Inputs!$B$12,0)</f>
        <v>3230</v>
      </c>
      <c r="D8" s="18">
        <f>IF(B8=1,Inputs!$B$13,0)</f>
        <v>120</v>
      </c>
    </row>
    <row r="9" spans="1:4" x14ac:dyDescent="0.25">
      <c r="A9" s="19">
        <v>3</v>
      </c>
      <c r="B9" s="20">
        <f>IF(Inputs!$B$5&gt;=3,1,0)</f>
        <v>1</v>
      </c>
      <c r="C9" s="21">
        <f>IF(B9=1,Inputs!$B$10+Inputs!$B$11+($A9-1)*(Inputs!$B$12+Inputs!$B$13)+Inputs!$B$12,0)</f>
        <v>3385</v>
      </c>
      <c r="D9" s="21">
        <f>IF(B9=1,Inputs!$B$13,0)</f>
        <v>120</v>
      </c>
    </row>
    <row r="10" spans="1:4" x14ac:dyDescent="0.25">
      <c r="A10" s="16">
        <v>4</v>
      </c>
      <c r="B10" s="17">
        <f>IF(Inputs!$B$5&gt;=4,1,0)</f>
        <v>1</v>
      </c>
      <c r="C10" s="18">
        <f>IF(B10=1,Inputs!$B$10+Inputs!$B$11+($A10-1)*(Inputs!$B$12+Inputs!$B$13)+Inputs!$B$12,0)</f>
        <v>3540</v>
      </c>
      <c r="D10" s="18">
        <f>IF(B10=1,Inputs!$B$13,0)</f>
        <v>120</v>
      </c>
    </row>
    <row r="11" spans="1:4" x14ac:dyDescent="0.25">
      <c r="A11" s="19">
        <v>5</v>
      </c>
      <c r="B11" s="20">
        <f>IF(Inputs!$B$5&gt;=5,1,0)</f>
        <v>1</v>
      </c>
      <c r="C11" s="21">
        <f>IF(B11=1,Inputs!$B$10+Inputs!$B$11+($A11-1)*(Inputs!$B$12+Inputs!$B$13)+Inputs!$B$12,0)</f>
        <v>3695</v>
      </c>
      <c r="D11" s="21">
        <f>IF(B11=1,Inputs!$B$13,0)</f>
        <v>120</v>
      </c>
    </row>
    <row r="12" spans="1:4" x14ac:dyDescent="0.25">
      <c r="A12" s="16">
        <v>6</v>
      </c>
      <c r="B12" s="17">
        <f>IF(Inputs!$B$5&gt;=6,1,0)</f>
        <v>1</v>
      </c>
      <c r="C12" s="18">
        <f>IF(B12=1,Inputs!$B$10+Inputs!$B$11+($A12-1)*(Inputs!$B$12+Inputs!$B$13)+Inputs!$B$12,0)</f>
        <v>3850</v>
      </c>
      <c r="D12" s="18">
        <f>IF(B12=1,Inputs!$B$13,0)</f>
        <v>120</v>
      </c>
    </row>
    <row r="13" spans="1:4" x14ac:dyDescent="0.25">
      <c r="A13" s="19">
        <v>7</v>
      </c>
      <c r="B13" s="20">
        <f>IF(Inputs!$B$5&gt;=7,1,0)</f>
        <v>1</v>
      </c>
      <c r="C13" s="21">
        <f>IF(B13=1,Inputs!$B$10+Inputs!$B$11+($A13-1)*(Inputs!$B$12+Inputs!$B$13)+Inputs!$B$12,0)</f>
        <v>4005</v>
      </c>
      <c r="D13" s="21">
        <f>IF(B13=1,Inputs!$B$13,0)</f>
        <v>120</v>
      </c>
    </row>
    <row r="14" spans="1:4" x14ac:dyDescent="0.25">
      <c r="A14" s="16">
        <v>8</v>
      </c>
      <c r="B14" s="17">
        <f>IF(Inputs!$B$5&gt;=8,1,0)</f>
        <v>1</v>
      </c>
      <c r="C14" s="18">
        <f>IF(B14=1,Inputs!$B$10+Inputs!$B$11+($A14-1)*(Inputs!$B$12+Inputs!$B$13)+Inputs!$B$12,0)</f>
        <v>4160</v>
      </c>
      <c r="D14" s="18">
        <f>IF(B14=1,Inputs!$B$13,0)</f>
        <v>120</v>
      </c>
    </row>
    <row r="15" spans="1:4" x14ac:dyDescent="0.25">
      <c r="A15" s="19">
        <v>9</v>
      </c>
      <c r="B15" s="20">
        <f>IF(Inputs!$B$5&gt;=9,1,0)</f>
        <v>1</v>
      </c>
      <c r="C15" s="21">
        <f>IF(B15=1,Inputs!$B$10+Inputs!$B$11+($A15-1)*(Inputs!$B$12+Inputs!$B$13)+Inputs!$B$12,0)</f>
        <v>4315</v>
      </c>
      <c r="D15" s="21">
        <f>IF(B15=1,Inputs!$B$13,0)</f>
        <v>120</v>
      </c>
    </row>
    <row r="16" spans="1:4" x14ac:dyDescent="0.25">
      <c r="A16" s="16">
        <v>10</v>
      </c>
      <c r="B16" s="17">
        <f>IF(Inputs!$B$5&gt;=10,1,0)</f>
        <v>1</v>
      </c>
      <c r="C16" s="18">
        <f>IF(B16=1,Inputs!$B$10+Inputs!$B$11+($A16-1)*(Inputs!$B$12+Inputs!$B$13)+Inputs!$B$12,0)</f>
        <v>4470</v>
      </c>
      <c r="D16" s="18">
        <f>IF(B16=1,Inputs!$B$13,0)</f>
        <v>120</v>
      </c>
    </row>
    <row r="17" spans="1:4" x14ac:dyDescent="0.25">
      <c r="A17" s="19">
        <v>11</v>
      </c>
      <c r="B17" s="20">
        <f>IF(Inputs!$B$5&gt;=11,1,0)</f>
        <v>0</v>
      </c>
      <c r="C17" s="21">
        <f>IF(B17=1,Inputs!$B$10+Inputs!$B$11+($A17-1)*(Inputs!$B$12+Inputs!$B$13)+Inputs!$B$12,0)</f>
        <v>0</v>
      </c>
      <c r="D17" s="21">
        <f>IF(B17=1,Inputs!$B$13,0)</f>
        <v>0</v>
      </c>
    </row>
    <row r="18" spans="1:4" x14ac:dyDescent="0.25">
      <c r="A18" s="16">
        <v>12</v>
      </c>
      <c r="B18" s="17">
        <f>IF(Inputs!$B$5&gt;=12,1,0)</f>
        <v>0</v>
      </c>
      <c r="C18" s="18">
        <f>IF(B18=1,Inputs!$B$10+Inputs!$B$11+($A18-1)*(Inputs!$B$12+Inputs!$B$13)+Inputs!$B$12,0)</f>
        <v>0</v>
      </c>
      <c r="D18" s="18">
        <f>IF(B18=1,Inputs!$B$13,0)</f>
        <v>0</v>
      </c>
    </row>
    <row r="19" spans="1:4" x14ac:dyDescent="0.25">
      <c r="A19" s="19">
        <v>13</v>
      </c>
      <c r="B19" s="20">
        <f>IF(Inputs!$B$5&gt;=13,1,0)</f>
        <v>0</v>
      </c>
      <c r="C19" s="21">
        <f>IF(B19=1,Inputs!$B$10+Inputs!$B$11+($A19-1)*(Inputs!$B$12+Inputs!$B$13)+Inputs!$B$12,0)</f>
        <v>0</v>
      </c>
      <c r="D19" s="21">
        <f>IF(B19=1,Inputs!$B$13,0)</f>
        <v>0</v>
      </c>
    </row>
    <row r="20" spans="1:4" x14ac:dyDescent="0.25">
      <c r="A20" s="16">
        <v>14</v>
      </c>
      <c r="B20" s="17">
        <f>IF(Inputs!$B$5&gt;=14,1,0)</f>
        <v>0</v>
      </c>
      <c r="C20" s="18">
        <f>IF(B20=1,Inputs!$B$10+Inputs!$B$11+($A20-1)*(Inputs!$B$12+Inputs!$B$13)+Inputs!$B$12,0)</f>
        <v>0</v>
      </c>
      <c r="D20" s="18">
        <f>IF(B20=1,Inputs!$B$13,0)</f>
        <v>0</v>
      </c>
    </row>
    <row r="21" spans="1:4" x14ac:dyDescent="0.25">
      <c r="A21" s="19">
        <v>15</v>
      </c>
      <c r="B21" s="20">
        <f>IF(Inputs!$B$5&gt;=15,1,0)</f>
        <v>0</v>
      </c>
      <c r="C21" s="21">
        <f>IF(B21=1,Inputs!$B$10+Inputs!$B$11+($A21-1)*(Inputs!$B$12+Inputs!$B$13)+Inputs!$B$12,0)</f>
        <v>0</v>
      </c>
      <c r="D21" s="21">
        <f>IF(B21=1,Inputs!$B$13,0)</f>
        <v>0</v>
      </c>
    </row>
    <row r="22" spans="1:4" x14ac:dyDescent="0.25">
      <c r="A22" s="16">
        <v>16</v>
      </c>
      <c r="B22" s="17">
        <f>IF(Inputs!$B$5&gt;=16,1,0)</f>
        <v>0</v>
      </c>
      <c r="C22" s="18">
        <f>IF(B22=1,Inputs!$B$10+Inputs!$B$11+($A22-1)*(Inputs!$B$12+Inputs!$B$13)+Inputs!$B$12,0)</f>
        <v>0</v>
      </c>
      <c r="D22" s="18">
        <f>IF(B22=1,Inputs!$B$13,0)</f>
        <v>0</v>
      </c>
    </row>
    <row r="23" spans="1:4" x14ac:dyDescent="0.25">
      <c r="A23" s="19">
        <v>17</v>
      </c>
      <c r="B23" s="20">
        <f>IF(Inputs!$B$5&gt;=17,1,0)</f>
        <v>0</v>
      </c>
      <c r="C23" s="21">
        <f>IF(B23=1,Inputs!$B$10+Inputs!$B$11+($A23-1)*(Inputs!$B$12+Inputs!$B$13)+Inputs!$B$12,0)</f>
        <v>0</v>
      </c>
      <c r="D23" s="21">
        <f>IF(B23=1,Inputs!$B$13,0)</f>
        <v>0</v>
      </c>
    </row>
    <row r="24" spans="1:4" x14ac:dyDescent="0.25">
      <c r="A24" s="16">
        <v>18</v>
      </c>
      <c r="B24" s="17">
        <f>IF(Inputs!$B$5&gt;=18,1,0)</f>
        <v>0</v>
      </c>
      <c r="C24" s="18">
        <f>IF(B24=1,Inputs!$B$10+Inputs!$B$11+($A24-1)*(Inputs!$B$12+Inputs!$B$13)+Inputs!$B$12,0)</f>
        <v>0</v>
      </c>
      <c r="D24" s="18">
        <f>IF(B24=1,Inputs!$B$13,0)</f>
        <v>0</v>
      </c>
    </row>
    <row r="25" spans="1:4" x14ac:dyDescent="0.25">
      <c r="A25" s="19">
        <v>19</v>
      </c>
      <c r="B25" s="20">
        <f>IF(Inputs!$B$5&gt;=19,1,0)</f>
        <v>0</v>
      </c>
      <c r="C25" s="21">
        <f>IF(B25=1,Inputs!$B$10+Inputs!$B$11+($A25-1)*(Inputs!$B$12+Inputs!$B$13)+Inputs!$B$12,0)</f>
        <v>0</v>
      </c>
      <c r="D25" s="21">
        <f>IF(B25=1,Inputs!$B$13,0)</f>
        <v>0</v>
      </c>
    </row>
    <row r="26" spans="1:4" x14ac:dyDescent="0.25">
      <c r="A26" s="16">
        <v>20</v>
      </c>
      <c r="B26" s="17">
        <f>IF(Inputs!$B$5&gt;=20,1,0)</f>
        <v>0</v>
      </c>
      <c r="C26" s="18">
        <f>IF(B26=1,Inputs!$B$10+Inputs!$B$11+($A26-1)*(Inputs!$B$12+Inputs!$B$13)+Inputs!$B$12,0)</f>
        <v>0</v>
      </c>
      <c r="D26" s="18">
        <f>IF(B26=1,Inputs!$B$13,0)</f>
        <v>0</v>
      </c>
    </row>
    <row r="28" spans="1:4" x14ac:dyDescent="0.25">
      <c r="A28" s="10" t="s">
        <v>94</v>
      </c>
      <c r="C28" s="11">
        <f>SUM(C6:C26)</f>
        <v>40725</v>
      </c>
      <c r="D28" s="11">
        <f>SUM(D6:D26)</f>
        <v>1240</v>
      </c>
    </row>
    <row r="30" spans="1:4" x14ac:dyDescent="0.25">
      <c r="A30" s="10" t="s">
        <v>95</v>
      </c>
      <c r="C30" s="11">
        <f>C28*Inputs!$B$4</f>
        <v>20362500</v>
      </c>
      <c r="D30" s="11">
        <f>D28*Inputs!$B$4</f>
        <v>620000</v>
      </c>
    </row>
    <row r="31" spans="1:3" x14ac:dyDescent="0.25">
      <c r="A31" s="7" t="s">
        <v>96</v>
      </c>
      <c r="C31" s="22">
        <f>C30/1000000</f>
        <v>20.3625</v>
      </c>
    </row>
    <row r="32" spans="1:3" x14ac:dyDescent="0.25">
      <c r="A32" s="7" t="s">
        <v>97</v>
      </c>
      <c r="C32" s="22">
        <f>D30/1000000</f>
        <v>0.62</v>
      </c>
    </row>
  </sheetData>
  <mergeCells count="2">
    <mergeCell ref="A1:D1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6" width="16" customWidth="1"/>
  </cols>
  <sheetData>
    <row r="1" ht="24" customHeight="1" spans="1:6" x14ac:dyDescent="0.25">
      <c r="A1" s="1" t="s">
        <v>98</v>
      </c>
      <c r="B1" s="1"/>
      <c r="C1" s="1"/>
      <c r="D1" s="1"/>
      <c r="E1" s="1"/>
      <c r="F1" s="1"/>
    </row>
    <row r="3" spans="1:6" x14ac:dyDescent="0.25">
      <c r="A3" s="9" t="s">
        <v>99</v>
      </c>
      <c r="B3" s="9"/>
      <c r="C3" s="9"/>
      <c r="D3" s="9"/>
      <c r="E3" s="9"/>
      <c r="F3" s="9"/>
    </row>
    <row r="4" spans="1:6" x14ac:dyDescent="0.25">
      <c r="A4" s="13" t="s">
        <v>100</v>
      </c>
      <c r="B4" s="13" t="s">
        <v>69</v>
      </c>
      <c r="C4" s="13" t="s">
        <v>70</v>
      </c>
      <c r="D4" s="13" t="s">
        <v>101</v>
      </c>
      <c r="E4" s="13" t="s">
        <v>102</v>
      </c>
      <c r="F4" s="13" t="s">
        <v>103</v>
      </c>
    </row>
    <row r="5" spans="1:6" x14ac:dyDescent="0.25">
      <c r="A5" s="23" t="s">
        <v>72</v>
      </c>
      <c r="B5" s="24">
        <f>Inputs!$B$27</f>
        <v>0</v>
      </c>
      <c r="C5" s="24">
        <f>Inputs!$C$27</f>
        <v>0</v>
      </c>
      <c r="D5" s="25">
        <f>TokenModel!$C$30/1000000*B5</f>
        <v>0</v>
      </c>
      <c r="E5" s="25">
        <f>TokenModel!$D$30/1000000*C5</f>
        <v>0</v>
      </c>
      <c r="F5" s="26">
        <f>D5+E5</f>
        <v>0</v>
      </c>
    </row>
    <row r="6" spans="1:6" x14ac:dyDescent="0.25">
      <c r="A6" s="23" t="s">
        <v>74</v>
      </c>
      <c r="B6" s="24">
        <f>Inputs!$B$28</f>
        <v>2.5</v>
      </c>
      <c r="C6" s="24">
        <f>Inputs!$C$28</f>
        <v>10</v>
      </c>
      <c r="D6" s="25">
        <f>TokenModel!$C$30/1000000*B6</f>
        <v>50.90625</v>
      </c>
      <c r="E6" s="25">
        <f>TokenModel!$D$30/1000000*C6</f>
        <v>6.2</v>
      </c>
      <c r="F6" s="26">
        <f>D6+E6</f>
        <v>57.10625</v>
      </c>
    </row>
    <row r="7" spans="1:6" x14ac:dyDescent="0.25">
      <c r="A7" s="23" t="s">
        <v>76</v>
      </c>
      <c r="B7" s="24">
        <f>Inputs!$B$29</f>
        <v>0.15</v>
      </c>
      <c r="C7" s="24">
        <f>Inputs!$C$29</f>
        <v>0.6</v>
      </c>
      <c r="D7" s="25">
        <f>TokenModel!$C$30/1000000*B7</f>
        <v>3.054375</v>
      </c>
      <c r="E7" s="25">
        <f>TokenModel!$D$30/1000000*C7</f>
        <v>0.372</v>
      </c>
      <c r="F7" s="26">
        <f>D7+E7</f>
        <v>3.4263749999999997</v>
      </c>
    </row>
    <row r="8" spans="1:6" x14ac:dyDescent="0.25">
      <c r="A8" s="23" t="s">
        <v>78</v>
      </c>
      <c r="B8" s="24">
        <f>Inputs!$B$30</f>
        <v>5</v>
      </c>
      <c r="C8" s="24">
        <f>Inputs!$C$30</f>
        <v>15</v>
      </c>
      <c r="D8" s="25">
        <f>TokenModel!$C$30/1000000*B8</f>
        <v>101.8125</v>
      </c>
      <c r="E8" s="25">
        <f>TokenModel!$D$30/1000000*C8</f>
        <v>9.3</v>
      </c>
      <c r="F8" s="26">
        <f>D8+E8</f>
        <v>111.1125</v>
      </c>
    </row>
    <row r="9" spans="1:6" x14ac:dyDescent="0.25">
      <c r="A9" s="23" t="s">
        <v>80</v>
      </c>
      <c r="B9" s="24">
        <f>Inputs!$B$31</f>
        <v>3</v>
      </c>
      <c r="C9" s="24">
        <f>Inputs!$C$31</f>
        <v>15</v>
      </c>
      <c r="D9" s="25">
        <f>TokenModel!$C$30/1000000*B9</f>
        <v>61.087500000000006</v>
      </c>
      <c r="E9" s="25">
        <f>TokenModel!$D$30/1000000*C9</f>
        <v>9.3</v>
      </c>
      <c r="F9" s="26">
        <f>D9+E9</f>
        <v>70.3875</v>
      </c>
    </row>
    <row r="10" spans="1:6" x14ac:dyDescent="0.25">
      <c r="A10" s="23" t="s">
        <v>82</v>
      </c>
      <c r="B10" s="24">
        <f>Inputs!$B$32</f>
        <v>0.8</v>
      </c>
      <c r="C10" s="24">
        <f>Inputs!$C$32</f>
        <v>4</v>
      </c>
      <c r="D10" s="25">
        <f>TokenModel!$C$30/1000000*B10</f>
        <v>16.290000000000003</v>
      </c>
      <c r="E10" s="25">
        <f>TokenModel!$D$30/1000000*C10</f>
        <v>2.48</v>
      </c>
      <c r="F10" s="26">
        <f>D10+E10</f>
        <v>18.770000000000003</v>
      </c>
    </row>
    <row r="11" spans="1:6" x14ac:dyDescent="0.25">
      <c r="A11" s="23" t="s">
        <v>84</v>
      </c>
      <c r="B11" s="24">
        <f>Inputs!$B$33</f>
        <v>0.4</v>
      </c>
      <c r="C11" s="24">
        <f>Inputs!$C$33</f>
        <v>1.2</v>
      </c>
      <c r="D11" s="25">
        <f>TokenModel!$C$30/1000000*B11</f>
        <v>8.145000000000001</v>
      </c>
      <c r="E11" s="25">
        <f>TokenModel!$D$30/1000000*C11</f>
        <v>0.744</v>
      </c>
      <c r="F11" s="26">
        <f>D11+E11</f>
        <v>8.889000000000001</v>
      </c>
    </row>
  </sheetData>
  <mergeCells count="2">
    <mergeCell ref="A1:F1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7" width="15" customWidth="1"/>
  </cols>
  <sheetData>
    <row r="1" ht="24" customHeight="1" spans="1:7" x14ac:dyDescent="0.25">
      <c r="A1" s="1" t="s">
        <v>104</v>
      </c>
      <c r="B1" s="1"/>
      <c r="C1" s="1"/>
      <c r="D1" s="1"/>
      <c r="E1" s="1"/>
      <c r="F1" s="1"/>
      <c r="G1" s="1"/>
    </row>
    <row r="3" ht="30" customHeight="1" spans="1:7" x14ac:dyDescent="0.25">
      <c r="A3" s="9" t="s">
        <v>105</v>
      </c>
      <c r="B3" s="9"/>
      <c r="C3" s="9"/>
      <c r="D3" s="9"/>
      <c r="E3" s="9"/>
      <c r="F3" s="9"/>
      <c r="G3" s="9"/>
    </row>
    <row r="4" spans="1:2" x14ac:dyDescent="0.25">
      <c r="A4" s="5" t="s">
        <v>106</v>
      </c>
      <c r="B4" s="6"/>
    </row>
    <row r="5" spans="1:2" x14ac:dyDescent="0.25">
      <c r="A5" s="7" t="s">
        <v>107</v>
      </c>
      <c r="B5" s="18">
        <f>Inputs!$B$18</f>
        <v>12</v>
      </c>
    </row>
    <row r="6" spans="1:2" x14ac:dyDescent="0.25">
      <c r="A6" s="7" t="s">
        <v>108</v>
      </c>
      <c r="B6" s="18">
        <f>Inputs!$B$10+Inputs!$B$18*(Inputs!$B$10+Inputs!$B$11+Inputs!$B$12)+(Inputs!$B$12+Inputs!$B$13)*Inputs!$B$18*(Inputs!$B$18-1)/2</f>
        <v>50130</v>
      </c>
    </row>
    <row r="7" spans="1:2" x14ac:dyDescent="0.25">
      <c r="A7" s="7" t="s">
        <v>109</v>
      </c>
      <c r="B7" s="18">
        <f>Inputs!$B$11+Inputs!$B$18*Inputs!$B$13</f>
        <v>1480</v>
      </c>
    </row>
    <row r="8" spans="1:2" x14ac:dyDescent="0.25">
      <c r="A8" s="7" t="s">
        <v>110</v>
      </c>
      <c r="B8" s="18">
        <f>Inputs!$B$17*Inputs!$B$16</f>
        <v>90</v>
      </c>
    </row>
    <row r="9" spans="1:2" x14ac:dyDescent="0.25">
      <c r="A9" s="7" t="s">
        <v>111</v>
      </c>
      <c r="B9" s="18">
        <f>B6*B8</f>
        <v>4511700</v>
      </c>
    </row>
    <row r="10" spans="1:2" x14ac:dyDescent="0.25">
      <c r="A10" s="7" t="s">
        <v>112</v>
      </c>
      <c r="B10" s="18">
        <f>B7*B8</f>
        <v>133200</v>
      </c>
    </row>
    <row r="12" spans="1:2" x14ac:dyDescent="0.25">
      <c r="A12" s="5" t="s">
        <v>113</v>
      </c>
      <c r="B12" s="6"/>
    </row>
    <row r="13" spans="1:2" x14ac:dyDescent="0.25">
      <c r="A13" s="7" t="s">
        <v>114</v>
      </c>
      <c r="B13" s="18">
        <f>Inputs!$B$19*Inputs!$B$17*Inputs!$B$16*Inputs!$B$20</f>
        <v>1296000</v>
      </c>
    </row>
    <row r="14" spans="1:2" x14ac:dyDescent="0.25">
      <c r="A14" s="7" t="s">
        <v>115</v>
      </c>
      <c r="B14" s="18">
        <f>Inputs!$B$19*Inputs!$B$17*Inputs!$B$16*Inputs!$B$21</f>
        <v>64800</v>
      </c>
    </row>
    <row r="15" spans="1:2" x14ac:dyDescent="0.25">
      <c r="A15" s="10" t="s">
        <v>116</v>
      </c>
      <c r="B15" s="27">
        <f>B13/1000000*Inputs!$B$22+B14/1000000*Inputs!$B$23</f>
        <v>0.23328</v>
      </c>
    </row>
    <row r="16" spans="1:2" x14ac:dyDescent="0.25">
      <c r="A16" s="7" t="s">
        <v>117</v>
      </c>
      <c r="B16" s="25">
        <f>0</f>
        <v>0</v>
      </c>
    </row>
    <row r="18" spans="1:7" x14ac:dyDescent="0.25">
      <c r="A18" s="5" t="s">
        <v>118</v>
      </c>
      <c r="B18" s="6"/>
      <c r="C18" s="6"/>
      <c r="D18" s="6"/>
      <c r="E18" s="6"/>
      <c r="F18" s="6"/>
      <c r="G18" s="6"/>
    </row>
    <row r="19" spans="1:7" x14ac:dyDescent="0.25">
      <c r="A19" s="13" t="s">
        <v>119</v>
      </c>
      <c r="B19" s="13" t="s">
        <v>69</v>
      </c>
      <c r="C19" s="13" t="s">
        <v>70</v>
      </c>
      <c r="D19" s="13" t="s">
        <v>120</v>
      </c>
      <c r="E19" s="13" t="s">
        <v>121</v>
      </c>
      <c r="F19" s="13" t="s">
        <v>122</v>
      </c>
      <c r="G19" s="13" t="s">
        <v>123</v>
      </c>
    </row>
    <row r="20" spans="1:7" x14ac:dyDescent="0.25">
      <c r="A20" s="23" t="s">
        <v>72</v>
      </c>
      <c r="B20" s="24">
        <f>Inputs!$B$27</f>
        <v>0</v>
      </c>
      <c r="C20" s="24">
        <f>Inputs!$C$27</f>
        <v>0</v>
      </c>
      <c r="D20" s="25">
        <f>$B$9/1000000*B20+$B$10/1000000*C20</f>
        <v>0</v>
      </c>
      <c r="E20" s="25">
        <f>$B$15</f>
        <v>0.23328</v>
      </c>
      <c r="F20" s="25">
        <f>$B$16</f>
        <v>0</v>
      </c>
      <c r="G20" s="26">
        <f>D20+E20+F20</f>
        <v>0.23328</v>
      </c>
    </row>
    <row r="21" spans="1:7" x14ac:dyDescent="0.25">
      <c r="A21" s="23" t="s">
        <v>74</v>
      </c>
      <c r="B21" s="24">
        <f>Inputs!$B$28</f>
        <v>2.5</v>
      </c>
      <c r="C21" s="24">
        <f>Inputs!$C$28</f>
        <v>10</v>
      </c>
      <c r="D21" s="25">
        <f>$B$9/1000000*B21+$B$10/1000000*C21</f>
        <v>12.611250000000002</v>
      </c>
      <c r="E21" s="25">
        <f>$B$15</f>
        <v>0.23328</v>
      </c>
      <c r="F21" s="25">
        <f>$B$16</f>
        <v>0</v>
      </c>
      <c r="G21" s="26">
        <f>D21+E21+F21</f>
        <v>12.844530000000002</v>
      </c>
    </row>
    <row r="22" spans="1:7" x14ac:dyDescent="0.25">
      <c r="A22" s="23" t="s">
        <v>76</v>
      </c>
      <c r="B22" s="24">
        <f>Inputs!$B$29</f>
        <v>0.15</v>
      </c>
      <c r="C22" s="24">
        <f>Inputs!$C$29</f>
        <v>0.6</v>
      </c>
      <c r="D22" s="25">
        <f>$B$9/1000000*B22+$B$10/1000000*C22</f>
        <v>0.756675</v>
      </c>
      <c r="E22" s="25">
        <f>$B$15</f>
        <v>0.23328</v>
      </c>
      <c r="F22" s="25">
        <f>$B$16</f>
        <v>0</v>
      </c>
      <c r="G22" s="26">
        <f>D22+E22+F22</f>
        <v>0.9899549999999999</v>
      </c>
    </row>
    <row r="23" spans="1:7" x14ac:dyDescent="0.25">
      <c r="A23" s="23" t="s">
        <v>78</v>
      </c>
      <c r="B23" s="24">
        <f>Inputs!$B$30</f>
        <v>5</v>
      </c>
      <c r="C23" s="24">
        <f>Inputs!$C$30</f>
        <v>15</v>
      </c>
      <c r="D23" s="25">
        <f>$B$9/1000000*B23+$B$10/1000000*C23</f>
        <v>24.556500000000003</v>
      </c>
      <c r="E23" s="25">
        <f>$B$15</f>
        <v>0.23328</v>
      </c>
      <c r="F23" s="25">
        <f>$B$16</f>
        <v>0</v>
      </c>
      <c r="G23" s="26">
        <f>D23+E23+F23</f>
        <v>24.789780000000004</v>
      </c>
    </row>
    <row r="24" spans="1:7" x14ac:dyDescent="0.25">
      <c r="A24" s="23" t="s">
        <v>80</v>
      </c>
      <c r="B24" s="24">
        <f>Inputs!$B$31</f>
        <v>3</v>
      </c>
      <c r="C24" s="24">
        <f>Inputs!$C$31</f>
        <v>15</v>
      </c>
      <c r="D24" s="25">
        <f>$B$9/1000000*B24+$B$10/1000000*C24</f>
        <v>15.533100000000001</v>
      </c>
      <c r="E24" s="25">
        <f>$B$15</f>
        <v>0.23328</v>
      </c>
      <c r="F24" s="25">
        <f>$B$16</f>
        <v>0</v>
      </c>
      <c r="G24" s="26">
        <f>D24+E24+F24</f>
        <v>15.766380000000002</v>
      </c>
    </row>
    <row r="25" spans="1:7" x14ac:dyDescent="0.25">
      <c r="A25" s="23" t="s">
        <v>82</v>
      </c>
      <c r="B25" s="24">
        <f>Inputs!$B$32</f>
        <v>0.8</v>
      </c>
      <c r="C25" s="24">
        <f>Inputs!$C$32</f>
        <v>4</v>
      </c>
      <c r="D25" s="25">
        <f>$B$9/1000000*B25+$B$10/1000000*C25</f>
        <v>4.1421600000000005</v>
      </c>
      <c r="E25" s="25">
        <f>$B$15</f>
        <v>0.23328</v>
      </c>
      <c r="F25" s="25">
        <f>$B$16</f>
        <v>0</v>
      </c>
      <c r="G25" s="26">
        <f>D25+E25+F25</f>
        <v>4.37544</v>
      </c>
    </row>
    <row r="26" spans="1:7" x14ac:dyDescent="0.25">
      <c r="A26" s="23" t="s">
        <v>84</v>
      </c>
      <c r="B26" s="24">
        <f>Inputs!$B$33</f>
        <v>0.4</v>
      </c>
      <c r="C26" s="24">
        <f>Inputs!$C$33</f>
        <v>1.2</v>
      </c>
      <c r="D26" s="25">
        <f>$B$9/1000000*B26+$B$10/1000000*C26</f>
        <v>1.9645200000000003</v>
      </c>
      <c r="E26" s="25">
        <f>$B$15</f>
        <v>0.23328</v>
      </c>
      <c r="F26" s="25">
        <f>$B$16</f>
        <v>0</v>
      </c>
      <c r="G26" s="26">
        <f>D26+E26+F26</f>
        <v>2.1978000000000004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5" width="15" customWidth="1"/>
    <col min="6" max="6" width="54" customWidth="1"/>
  </cols>
  <sheetData>
    <row r="1" ht="24" customHeight="1" spans="1:6" x14ac:dyDescent="0.25">
      <c r="A1" s="1" t="s">
        <v>124</v>
      </c>
      <c r="B1" s="1"/>
      <c r="C1" s="1"/>
      <c r="D1" s="1"/>
      <c r="E1" s="1"/>
      <c r="F1" s="1"/>
    </row>
    <row r="3" spans="1:6" x14ac:dyDescent="0.25">
      <c r="A3" s="13" t="s">
        <v>125</v>
      </c>
      <c r="B3" s="13" t="s">
        <v>126</v>
      </c>
      <c r="C3" s="13" t="s">
        <v>127</v>
      </c>
      <c r="D3" s="13" t="s">
        <v>128</v>
      </c>
      <c r="E3" s="13" t="s">
        <v>129</v>
      </c>
      <c r="F3" s="13" t="s">
        <v>130</v>
      </c>
    </row>
    <row r="4" spans="1:6" x14ac:dyDescent="0.25">
      <c r="A4" s="14" t="s">
        <v>131</v>
      </c>
      <c r="B4" s="28">
        <v>20</v>
      </c>
      <c r="C4" s="28">
        <v>20</v>
      </c>
      <c r="D4" s="28">
        <v>20</v>
      </c>
      <c r="E4" s="28">
        <v>0</v>
      </c>
      <c r="F4" s="15" t="s">
        <v>132</v>
      </c>
    </row>
    <row r="5" spans="1:6" x14ac:dyDescent="0.25">
      <c r="A5" s="14" t="s">
        <v>133</v>
      </c>
      <c r="B5" s="28">
        <v>10</v>
      </c>
      <c r="C5" s="28">
        <v>0</v>
      </c>
      <c r="D5" s="28">
        <v>0</v>
      </c>
      <c r="E5" s="28">
        <v>0</v>
      </c>
      <c r="F5" s="15" t="s">
        <v>134</v>
      </c>
    </row>
    <row r="6" spans="1:6" x14ac:dyDescent="0.25">
      <c r="A6" s="14" t="s">
        <v>135</v>
      </c>
      <c r="B6" s="28">
        <v>15</v>
      </c>
      <c r="C6" s="28">
        <v>0</v>
      </c>
      <c r="D6" s="28">
        <v>6</v>
      </c>
      <c r="E6" s="28">
        <v>0</v>
      </c>
      <c r="F6" s="15" t="s">
        <v>136</v>
      </c>
    </row>
    <row r="7" spans="1:6" x14ac:dyDescent="0.25">
      <c r="A7" s="14" t="s">
        <v>137</v>
      </c>
      <c r="B7" s="28">
        <v>0</v>
      </c>
      <c r="C7" s="28">
        <v>0</v>
      </c>
      <c r="D7" s="28">
        <v>0</v>
      </c>
      <c r="E7" s="28">
        <v>0</v>
      </c>
      <c r="F7" s="15" t="s">
        <v>138</v>
      </c>
    </row>
    <row r="8" spans="1:6" x14ac:dyDescent="0.25">
      <c r="A8" s="14" t="s">
        <v>139</v>
      </c>
      <c r="B8" s="28">
        <v>15</v>
      </c>
      <c r="C8" s="28">
        <v>0</v>
      </c>
      <c r="D8" s="28">
        <v>0</v>
      </c>
      <c r="E8" s="28">
        <v>0</v>
      </c>
      <c r="F8" s="15" t="s">
        <v>140</v>
      </c>
    </row>
    <row r="9" spans="1:6" x14ac:dyDescent="0.25">
      <c r="A9" s="14" t="s">
        <v>141</v>
      </c>
      <c r="B9" s="28">
        <v>0</v>
      </c>
      <c r="C9" s="28">
        <v>12</v>
      </c>
      <c r="D9" s="28">
        <v>0</v>
      </c>
      <c r="E9" s="28">
        <v>25</v>
      </c>
      <c r="F9" s="15" t="s">
        <v>142</v>
      </c>
    </row>
    <row r="10" spans="1:6" x14ac:dyDescent="0.25">
      <c r="A10" s="14" t="s">
        <v>143</v>
      </c>
      <c r="B10" s="28">
        <v>1</v>
      </c>
      <c r="C10" s="28">
        <v>1</v>
      </c>
      <c r="D10" s="28">
        <v>1</v>
      </c>
      <c r="E10" s="28">
        <v>1</v>
      </c>
      <c r="F10" s="15" t="s">
        <v>144</v>
      </c>
    </row>
    <row r="11" spans="1:6" x14ac:dyDescent="0.25">
      <c r="A11" s="14" t="s">
        <v>145</v>
      </c>
      <c r="B11" s="28">
        <v>0</v>
      </c>
      <c r="C11" s="28">
        <v>0</v>
      </c>
      <c r="D11" s="28">
        <v>0</v>
      </c>
      <c r="E11" s="28">
        <v>0</v>
      </c>
      <c r="F11" s="15" t="s">
        <v>146</v>
      </c>
    </row>
    <row r="13" spans="1:5" x14ac:dyDescent="0.25">
      <c r="A13" s="10" t="s">
        <v>147</v>
      </c>
      <c r="B13" s="29">
        <f>SUM(B4:B11)</f>
        <v>61</v>
      </c>
      <c r="C13" s="29">
        <f>SUM(C4:C11)</f>
        <v>33</v>
      </c>
      <c r="D13" s="29">
        <f>SUM(D4:D11)</f>
        <v>27</v>
      </c>
      <c r="E13" s="29">
        <f>SUM(E4:E11)</f>
        <v>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6" customWidth="1"/>
    <col min="3" max="3" width="24" customWidth="1"/>
    <col min="4" max="7" width="16" customWidth="1"/>
  </cols>
  <sheetData>
    <row r="1" ht="24" customHeight="1" spans="1:7" x14ac:dyDescent="0.25">
      <c r="A1" s="1" t="s">
        <v>148</v>
      </c>
      <c r="B1" s="1"/>
      <c r="C1" s="1"/>
      <c r="D1" s="1"/>
      <c r="E1" s="1"/>
      <c r="F1" s="1"/>
      <c r="G1" s="1"/>
    </row>
    <row r="3" spans="1:7" x14ac:dyDescent="0.25">
      <c r="A3" s="9" t="s">
        <v>149</v>
      </c>
      <c r="B3" s="9"/>
      <c r="C3" s="9"/>
      <c r="D3" s="9"/>
      <c r="E3" s="9"/>
      <c r="F3" s="9"/>
      <c r="G3" s="9"/>
    </row>
    <row r="4" spans="1:7" x14ac:dyDescent="0.25">
      <c r="A4" s="13" t="s">
        <v>150</v>
      </c>
      <c r="B4" s="13" t="s">
        <v>151</v>
      </c>
      <c r="C4" s="13" t="s">
        <v>152</v>
      </c>
      <c r="D4" s="13" t="s">
        <v>153</v>
      </c>
      <c r="E4" s="13" t="s">
        <v>154</v>
      </c>
      <c r="F4" s="13" t="s">
        <v>155</v>
      </c>
      <c r="G4" s="13" t="s">
        <v>156</v>
      </c>
    </row>
    <row r="5" spans="1:7" x14ac:dyDescent="0.25">
      <c r="A5" s="14" t="s">
        <v>157</v>
      </c>
      <c r="B5" s="14" t="s">
        <v>72</v>
      </c>
      <c r="C5" s="14" t="s">
        <v>158</v>
      </c>
      <c r="D5" s="24">
        <f>ProductionAI!$F$5</f>
        <v>0</v>
      </c>
      <c r="E5" s="24">
        <f>Testing!$G$20</f>
        <v>0.23328</v>
      </c>
      <c r="F5" s="24">
        <f>Infrastructure!$D$13</f>
        <v>27</v>
      </c>
      <c r="G5" s="26">
        <f>D5+E5+F5</f>
        <v>27.23328</v>
      </c>
    </row>
    <row r="6" spans="1:7" x14ac:dyDescent="0.25">
      <c r="A6" s="14" t="s">
        <v>159</v>
      </c>
      <c r="B6" s="14" t="s">
        <v>72</v>
      </c>
      <c r="C6" s="14" t="s">
        <v>160</v>
      </c>
      <c r="D6" s="24">
        <f>ProductionAI!$F$5</f>
        <v>0</v>
      </c>
      <c r="E6" s="24">
        <f>Testing!$G$20</f>
        <v>0.23328</v>
      </c>
      <c r="F6" s="24">
        <f>Infrastructure!$B$13</f>
        <v>61</v>
      </c>
      <c r="G6" s="26">
        <f>D6+E6+F6</f>
        <v>61.23328</v>
      </c>
    </row>
    <row r="7" spans="1:7" x14ac:dyDescent="0.25">
      <c r="A7" s="14" t="s">
        <v>161</v>
      </c>
      <c r="B7" s="14" t="s">
        <v>162</v>
      </c>
      <c r="C7" s="14" t="s">
        <v>163</v>
      </c>
      <c r="D7" s="24">
        <f>ProductionAI!$F$6</f>
        <v>57.10625</v>
      </c>
      <c r="E7" s="24">
        <f>Testing!$G$21</f>
        <v>12.844530000000002</v>
      </c>
      <c r="F7" s="24">
        <f>Infrastructure!$C$13</f>
        <v>33</v>
      </c>
      <c r="G7" s="26">
        <f>D7+E7+F7</f>
        <v>102.95078000000001</v>
      </c>
    </row>
    <row r="8" spans="1:7" x14ac:dyDescent="0.25">
      <c r="A8" s="14" t="s">
        <v>164</v>
      </c>
      <c r="B8" s="14" t="s">
        <v>165</v>
      </c>
      <c r="C8" s="14" t="s">
        <v>158</v>
      </c>
      <c r="D8" s="24">
        <f>ProductionAI!$F$7</f>
        <v>3.4263749999999997</v>
      </c>
      <c r="E8" s="24">
        <f>Testing!$G$22</f>
        <v>0.9899549999999999</v>
      </c>
      <c r="F8" s="24">
        <f>Infrastructure!$D$13</f>
        <v>27</v>
      </c>
      <c r="G8" s="26">
        <f>D8+E8+F8</f>
        <v>31.41633</v>
      </c>
    </row>
    <row r="9" spans="1:7" x14ac:dyDescent="0.25">
      <c r="A9" s="14" t="s">
        <v>166</v>
      </c>
      <c r="B9" s="14" t="s">
        <v>167</v>
      </c>
      <c r="C9" s="14" t="s">
        <v>160</v>
      </c>
      <c r="D9" s="24">
        <f>ProductionAI!$F$8</f>
        <v>111.1125</v>
      </c>
      <c r="E9" s="24">
        <f>Testing!$G$23</f>
        <v>24.789780000000004</v>
      </c>
      <c r="F9" s="24">
        <f>Infrastructure!$B$13</f>
        <v>61</v>
      </c>
      <c r="G9" s="26">
        <f>D9+E9+F9</f>
        <v>196.90228</v>
      </c>
    </row>
    <row r="10" spans="1:7" x14ac:dyDescent="0.25">
      <c r="A10" s="14" t="s">
        <v>168</v>
      </c>
      <c r="B10" s="14" t="s">
        <v>82</v>
      </c>
      <c r="C10" s="14" t="s">
        <v>163</v>
      </c>
      <c r="D10" s="24">
        <f>ProductionAI!$F$10</f>
        <v>18.770000000000003</v>
      </c>
      <c r="E10" s="24">
        <f>Testing!$G$25</f>
        <v>4.37544</v>
      </c>
      <c r="F10" s="24">
        <f>Infrastructure!$C$13</f>
        <v>33</v>
      </c>
      <c r="G10" s="26">
        <f>D10+E10+F10</f>
        <v>56.14544000000001</v>
      </c>
    </row>
    <row r="11" spans="1:7" x14ac:dyDescent="0.25">
      <c r="A11" s="14" t="s">
        <v>169</v>
      </c>
      <c r="B11" s="14" t="s">
        <v>170</v>
      </c>
      <c r="C11" s="14" t="s">
        <v>163</v>
      </c>
      <c r="D11" s="24">
        <f>ProductionAI!$F$11</f>
        <v>8.889000000000001</v>
      </c>
      <c r="E11" s="24">
        <f>Testing!$G$26</f>
        <v>2.1978000000000004</v>
      </c>
      <c r="F11" s="24">
        <f>Infrastructure!$C$13</f>
        <v>33</v>
      </c>
      <c r="G11" s="26">
        <f>D11+E11+F11</f>
        <v>44.086800000000004</v>
      </c>
    </row>
    <row r="12" ht="30" customHeight="1" spans="1:7" x14ac:dyDescent="0.25">
      <c r="A12" s="9" t="s">
        <v>171</v>
      </c>
      <c r="B12" s="9"/>
      <c r="C12" s="9"/>
      <c r="D12" s="9"/>
      <c r="E12" s="9"/>
      <c r="F12" s="9"/>
      <c r="G12" s="9"/>
    </row>
  </sheetData>
  <mergeCells count="3">
    <mergeCell ref="A1:G1"/>
    <mergeCell ref="A3:G3"/>
    <mergeCell ref="A12:G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34" customWidth="1"/>
    <col min="4" max="4" width="24" customWidth="1"/>
    <col min="5" max="5" width="26" customWidth="1"/>
    <col min="6" max="6" width="30" customWidth="1"/>
  </cols>
  <sheetData>
    <row r="1" ht="24" customHeight="1" spans="1:6" x14ac:dyDescent="0.25">
      <c r="A1" s="1" t="s">
        <v>172</v>
      </c>
      <c r="B1" s="1"/>
      <c r="C1" s="1"/>
      <c r="D1" s="1"/>
      <c r="E1" s="1"/>
      <c r="F1" s="1"/>
    </row>
    <row r="3" spans="1:6" x14ac:dyDescent="0.25">
      <c r="A3" s="13" t="s">
        <v>173</v>
      </c>
      <c r="B3" s="13" t="s">
        <v>174</v>
      </c>
      <c r="C3" s="13" t="s">
        <v>175</v>
      </c>
      <c r="D3" s="13" t="s">
        <v>176</v>
      </c>
      <c r="E3" s="13" t="s">
        <v>177</v>
      </c>
      <c r="F3" s="13" t="s">
        <v>178</v>
      </c>
    </row>
    <row r="4" ht="60" customHeight="1" spans="1:6" x14ac:dyDescent="0.25">
      <c r="A4" s="14" t="s">
        <v>151</v>
      </c>
      <c r="B4" s="14" t="s">
        <v>179</v>
      </c>
      <c r="C4" s="14" t="s">
        <v>180</v>
      </c>
      <c r="D4" s="14" t="s">
        <v>181</v>
      </c>
      <c r="E4" s="14" t="s">
        <v>182</v>
      </c>
      <c r="F4" s="14" t="s">
        <v>183</v>
      </c>
    </row>
    <row r="5" ht="60" customHeight="1" spans="1:6" x14ac:dyDescent="0.25">
      <c r="A5" s="30" t="s">
        <v>184</v>
      </c>
      <c r="B5" s="30" t="s">
        <v>185</v>
      </c>
      <c r="C5" s="30" t="s">
        <v>186</v>
      </c>
      <c r="D5" s="30" t="s">
        <v>187</v>
      </c>
      <c r="E5" s="30" t="s">
        <v>188</v>
      </c>
      <c r="F5" s="30" t="s">
        <v>189</v>
      </c>
    </row>
    <row r="6" ht="60" customHeight="1" spans="1:6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</row>
    <row r="7" ht="60" customHeight="1" spans="1:6" x14ac:dyDescent="0.25">
      <c r="A7" s="30" t="s">
        <v>196</v>
      </c>
      <c r="B7" s="30" t="s">
        <v>197</v>
      </c>
      <c r="C7" s="30" t="s">
        <v>198</v>
      </c>
      <c r="D7" s="30" t="s">
        <v>199</v>
      </c>
      <c r="E7" s="30" t="s">
        <v>200</v>
      </c>
      <c r="F7" s="30" t="s">
        <v>201</v>
      </c>
    </row>
    <row r="8" ht="60" customHeight="1" spans="1:6" x14ac:dyDescent="0.25">
      <c r="A8" s="14" t="s">
        <v>202</v>
      </c>
      <c r="B8" s="14" t="s">
        <v>203</v>
      </c>
      <c r="C8" s="14" t="s">
        <v>204</v>
      </c>
      <c r="D8" s="14" t="s">
        <v>205</v>
      </c>
      <c r="E8" s="14" t="s">
        <v>206</v>
      </c>
      <c r="F8" s="14" t="s">
        <v>207</v>
      </c>
    </row>
    <row r="9" ht="60" customHeight="1" spans="1:6" x14ac:dyDescent="0.25">
      <c r="A9" s="30" t="s">
        <v>208</v>
      </c>
      <c r="B9" s="30" t="s">
        <v>209</v>
      </c>
      <c r="C9" s="30" t="s">
        <v>210</v>
      </c>
      <c r="D9" s="30" t="s">
        <v>211</v>
      </c>
      <c r="E9" s="30" t="s">
        <v>212</v>
      </c>
      <c r="F9" s="30" t="s">
        <v>213</v>
      </c>
    </row>
    <row r="10" ht="60" customHeight="1" spans="1:6" x14ac:dyDescent="0.25">
      <c r="A10" s="14" t="s">
        <v>214</v>
      </c>
      <c r="B10" s="14" t="s">
        <v>215</v>
      </c>
      <c r="C10" s="14" t="s">
        <v>216</v>
      </c>
      <c r="D10" s="14" t="s">
        <v>217</v>
      </c>
      <c r="E10" s="14" t="s">
        <v>218</v>
      </c>
      <c r="F10" s="14" t="s">
        <v>219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Inputs</vt:lpstr>
      <vt:lpstr>TokenModel</vt:lpstr>
      <vt:lpstr>ProductionAI</vt:lpstr>
      <vt:lpstr>Testing</vt:lpstr>
      <vt:lpstr>Infrastructure</vt:lpstr>
      <vt:lpstr>TCO</vt:lpstr>
      <vt:lpstr>AltProviders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2026-07-22T04:41:34Z</dcterms:created>
  <dcterms:modified xsi:type="dcterms:W3CDTF">2026-07-22T04:41:34Z</dcterms:modified>
</cp:coreProperties>
</file>